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M_Projects\1933m1\"/>
    </mc:Choice>
  </mc:AlternateContent>
  <xr:revisionPtr revIDLastSave="0" documentId="8_{570F9AE9-BFBF-47BB-933D-600D983340A8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Лист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I19" i="1"/>
  <c r="I12" i="1"/>
  <c r="I13" i="1"/>
  <c r="I14" i="1"/>
  <c r="I15" i="1"/>
  <c r="I16" i="1"/>
  <c r="I17" i="1"/>
  <c r="I11" i="1"/>
  <c r="I7" i="1"/>
  <c r="I8" i="1"/>
  <c r="I9" i="1"/>
  <c r="I10" i="1"/>
  <c r="I6" i="1"/>
  <c r="M5" i="1" l="1"/>
</calcChain>
</file>

<file path=xl/sharedStrings.xml><?xml version="1.0" encoding="utf-8"?>
<sst xmlns="http://schemas.openxmlformats.org/spreadsheetml/2006/main" count="51" uniqueCount="28">
  <si>
    <t>Размер (мм)</t>
  </si>
  <si>
    <t>Количество штук</t>
  </si>
  <si>
    <t>Ширина</t>
  </si>
  <si>
    <t>№ заказа</t>
  </si>
  <si>
    <t xml:space="preserve">Толщина </t>
  </si>
  <si>
    <t>Исполнитель</t>
  </si>
  <si>
    <t>БЛАНК ЗАКАЗА ФАНЕРОВАНЫХ ПАНЕЛЕЙ.</t>
  </si>
  <si>
    <t>М</t>
  </si>
  <si>
    <t>чистовой</t>
  </si>
  <si>
    <r>
      <rPr>
        <b/>
        <u/>
        <sz val="13"/>
        <color theme="1"/>
        <rFont val="Calibri"/>
        <family val="2"/>
        <charset val="204"/>
        <scheme val="minor"/>
      </rPr>
      <t>Основа</t>
    </r>
    <r>
      <rPr>
        <b/>
        <sz val="13"/>
        <color theme="1"/>
        <rFont val="Calibri"/>
        <family val="2"/>
        <charset val="204"/>
        <scheme val="minor"/>
      </rPr>
      <t xml:space="preserve">
</t>
    </r>
    <r>
      <rPr>
        <b/>
        <sz val="10"/>
        <color theme="1"/>
        <rFont val="Calibri"/>
        <family val="2"/>
        <charset val="204"/>
        <scheme val="minor"/>
      </rPr>
      <t xml:space="preserve">МДФ
ДСП
</t>
    </r>
  </si>
  <si>
    <r>
      <rPr>
        <b/>
        <u/>
        <sz val="13"/>
        <color theme="1"/>
        <rFont val="Calibri"/>
        <family val="2"/>
        <charset val="204"/>
        <scheme val="minor"/>
      </rPr>
      <t>Сторона "А"</t>
    </r>
    <r>
      <rPr>
        <b/>
        <sz val="13"/>
        <color theme="1"/>
        <rFont val="Calibri"/>
        <family val="2"/>
        <charset val="204"/>
        <scheme val="minor"/>
      </rPr>
      <t xml:space="preserve">
</t>
    </r>
    <r>
      <rPr>
        <sz val="13"/>
        <color theme="1"/>
        <rFont val="Calibri"/>
        <family val="2"/>
        <charset val="204"/>
        <scheme val="minor"/>
      </rPr>
      <t>Шпон наименование</t>
    </r>
  </si>
  <si>
    <r>
      <rPr>
        <b/>
        <u/>
        <sz val="13"/>
        <color theme="1"/>
        <rFont val="Calibri"/>
        <family val="2"/>
        <charset val="204"/>
        <scheme val="minor"/>
      </rPr>
      <t xml:space="preserve">Количество фанерованных сторон </t>
    </r>
    <r>
      <rPr>
        <b/>
        <sz val="13"/>
        <color theme="1"/>
        <rFont val="Calibri"/>
        <family val="2"/>
        <charset val="204"/>
        <scheme val="minor"/>
      </rPr>
      <t xml:space="preserve">
</t>
    </r>
    <r>
      <rPr>
        <sz val="12"/>
        <color theme="1"/>
        <rFont val="Calibri"/>
        <family val="2"/>
        <charset val="204"/>
        <scheme val="minor"/>
      </rPr>
      <t>1 или 2</t>
    </r>
  </si>
  <si>
    <t>1933m1</t>
  </si>
  <si>
    <t>Цвет клиента</t>
  </si>
  <si>
    <t>Шпонир. МДФ 17.2 мм - Дуб
Европейский, тангенциальный</t>
  </si>
  <si>
    <t>Шпонир. МДФ 9.2 мм - Дуб
Европейский, тангенциальный</t>
  </si>
  <si>
    <t>черновой</t>
  </si>
  <si>
    <t>обе стороны черновой!!!</t>
  </si>
  <si>
    <t>Шпонир. МДФ 13.2 мм - Дуб
Европейский, тангенциальный</t>
  </si>
  <si>
    <t>текстура под углом 45град.</t>
  </si>
  <si>
    <t>Шпонир. МДФ 19.2 мм - Дуб
Европейский, тангенциальный</t>
  </si>
  <si>
    <t>Подбор</t>
  </si>
  <si>
    <r>
      <rPr>
        <b/>
        <u/>
        <sz val="13"/>
        <color theme="1"/>
        <rFont val="Calibri"/>
        <family val="2"/>
        <charset val="204"/>
        <scheme val="minor"/>
      </rPr>
      <t>Сторона "В"</t>
    </r>
    <r>
      <rPr>
        <b/>
        <sz val="13"/>
        <color theme="1"/>
        <rFont val="Calibri"/>
        <family val="2"/>
        <charset val="204"/>
        <scheme val="minor"/>
      </rPr>
      <t xml:space="preserve">
</t>
    </r>
    <r>
      <rPr>
        <sz val="13"/>
        <color theme="1"/>
        <rFont val="Calibri"/>
        <family val="2"/>
        <charset val="204"/>
        <scheme val="minor"/>
      </rPr>
      <t>Чистовой шпон</t>
    </r>
    <r>
      <rPr>
        <sz val="11"/>
        <color theme="1"/>
        <rFont val="Calibri"/>
        <family val="2"/>
        <charset val="204"/>
        <scheme val="minor"/>
      </rPr>
      <t xml:space="preserve">
Черновой шпон</t>
    </r>
  </si>
  <si>
    <r>
      <rPr>
        <b/>
        <sz val="11"/>
        <color theme="1"/>
        <rFont val="Calibri"/>
        <family val="2"/>
        <charset val="204"/>
        <scheme val="minor"/>
      </rPr>
      <t>Принят в работу</t>
    </r>
    <r>
      <rPr>
        <sz val="11"/>
        <color theme="1"/>
        <rFont val="Calibri"/>
        <family val="2"/>
        <charset val="204"/>
        <scheme val="minor"/>
      </rPr>
      <t xml:space="preserve">                                                                  дата</t>
    </r>
  </si>
  <si>
    <r>
      <rPr>
        <b/>
        <sz val="11"/>
        <color theme="1"/>
        <rFont val="Calibri"/>
        <family val="2"/>
        <charset val="204"/>
        <scheme val="minor"/>
      </rPr>
      <t>Готовность</t>
    </r>
    <r>
      <rPr>
        <sz val="11"/>
        <color theme="1"/>
        <rFont val="Calibri"/>
        <family val="2"/>
        <charset val="204"/>
        <scheme val="minor"/>
      </rPr>
      <t xml:space="preserve">                      дата</t>
    </r>
  </si>
  <si>
    <r>
      <t xml:space="preserve">Длина </t>
    </r>
    <r>
      <rPr>
        <sz val="11"/>
        <color theme="1"/>
        <rFont val="Calibri"/>
        <family val="2"/>
        <charset val="204"/>
        <scheme val="minor"/>
      </rPr>
      <t>направление волокон шпона</t>
    </r>
  </si>
  <si>
    <t>Шпонир. МДФ 23.2 мм - Дуб
Европейский, тангенциальный</t>
  </si>
  <si>
    <t>Фасады с ручкой J в массиве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</si>
</sst>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b/>
      <u/>
      <sz val="13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6"/>
      <color indexed="8"/>
      <name val="Calibri"/>
      <family val="2"/>
      <charset val="204"/>
      <scheme val="minor"/>
    </font>
    <font>
      <sz val="14"/>
      <color indexed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1" xfId="0" applyBorder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0" borderId="1" xfId="1" applyFont="1" applyBorder="1" applyAlignment="1">
      <alignment vertical="center"/>
    </xf>
    <xf numFmtId="0" fontId="10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3" fontId="11" fillId="0" borderId="1" xfId="1" applyNumberFormat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/>
    <xf numFmtId="0" fontId="0" fillId="0" borderId="0" xfId="0" applyFont="1"/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workbookViewId="0">
      <selection activeCell="H23" sqref="H23"/>
    </sheetView>
  </sheetViews>
  <sheetFormatPr defaultRowHeight="14.6" x14ac:dyDescent="0.4"/>
  <cols>
    <col min="1" max="1" width="24" customWidth="1"/>
    <col min="3" max="3" width="17.15234375" customWidth="1"/>
    <col min="4" max="4" width="16.69140625" customWidth="1"/>
    <col min="6" max="6" width="8" customWidth="1"/>
    <col min="8" max="8" width="9" customWidth="1"/>
    <col min="9" max="9" width="7.69140625" customWidth="1"/>
    <col min="10" max="10" width="19.69140625" customWidth="1"/>
    <col min="13" max="13" width="14" customWidth="1"/>
  </cols>
  <sheetData>
    <row r="1" spans="1:13" x14ac:dyDescent="0.4">
      <c r="A1" s="15" t="s">
        <v>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4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16.75" x14ac:dyDescent="0.4">
      <c r="A3" s="16" t="s">
        <v>3</v>
      </c>
      <c r="B3" s="16" t="s">
        <v>9</v>
      </c>
      <c r="C3" s="17" t="s">
        <v>4</v>
      </c>
      <c r="D3" s="16" t="s">
        <v>10</v>
      </c>
      <c r="E3" s="18" t="s">
        <v>0</v>
      </c>
      <c r="F3" s="19"/>
      <c r="G3" s="16" t="s">
        <v>1</v>
      </c>
      <c r="H3" s="16" t="s">
        <v>11</v>
      </c>
      <c r="I3" s="21" t="s">
        <v>7</v>
      </c>
      <c r="J3" s="16" t="s">
        <v>22</v>
      </c>
      <c r="K3" s="26" t="s">
        <v>23</v>
      </c>
      <c r="L3" s="26" t="s">
        <v>24</v>
      </c>
      <c r="M3" s="20" t="s">
        <v>5</v>
      </c>
    </row>
    <row r="4" spans="1:13" ht="90" customHeight="1" x14ac:dyDescent="0.4">
      <c r="A4" s="16"/>
      <c r="B4" s="16"/>
      <c r="C4" s="16"/>
      <c r="D4" s="16"/>
      <c r="E4" s="3" t="s">
        <v>25</v>
      </c>
      <c r="F4" s="3" t="s">
        <v>2</v>
      </c>
      <c r="G4" s="16"/>
      <c r="H4" s="16"/>
      <c r="I4" s="22"/>
      <c r="J4" s="16"/>
      <c r="K4" s="26"/>
      <c r="L4" s="26"/>
      <c r="M4" s="20"/>
    </row>
    <row r="5" spans="1:13" ht="59.25" customHeight="1" x14ac:dyDescent="0.4">
      <c r="A5" s="4" t="s">
        <v>12</v>
      </c>
      <c r="B5" s="13" t="s">
        <v>13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5">
        <f>SUM(I6:I868)</f>
        <v>54.717500000000001</v>
      </c>
    </row>
    <row r="6" spans="1:13" ht="45.75" customHeight="1" x14ac:dyDescent="0.4">
      <c r="A6" s="6"/>
      <c r="B6" s="4">
        <v>8</v>
      </c>
      <c r="C6" s="4">
        <v>9.1999999999999993</v>
      </c>
      <c r="D6" s="7" t="s">
        <v>15</v>
      </c>
      <c r="E6" s="8">
        <v>600</v>
      </c>
      <c r="F6" s="8">
        <v>900</v>
      </c>
      <c r="G6" s="9">
        <v>1</v>
      </c>
      <c r="H6" s="10">
        <v>2</v>
      </c>
      <c r="I6" s="10">
        <f t="shared" ref="I6" si="0">(E6*F6*G6)/1000000</f>
        <v>0.54</v>
      </c>
      <c r="J6" s="11" t="s">
        <v>8</v>
      </c>
      <c r="K6" s="27"/>
      <c r="L6" s="27"/>
      <c r="M6" s="27"/>
    </row>
    <row r="7" spans="1:13" ht="49.5" customHeight="1" x14ac:dyDescent="0.4">
      <c r="A7" s="6"/>
      <c r="B7" s="4">
        <v>8</v>
      </c>
      <c r="C7" s="4">
        <v>9.1999999999999993</v>
      </c>
      <c r="D7" s="7" t="s">
        <v>15</v>
      </c>
      <c r="E7" s="8">
        <v>2800</v>
      </c>
      <c r="F7" s="8">
        <v>820</v>
      </c>
      <c r="G7" s="9">
        <v>3</v>
      </c>
      <c r="H7" s="10">
        <v>2</v>
      </c>
      <c r="I7" s="10">
        <f t="shared" ref="I7:I11" si="1">(E7*F7*G7)/1000000</f>
        <v>6.8879999999999999</v>
      </c>
      <c r="J7" s="23" t="s">
        <v>16</v>
      </c>
      <c r="K7" s="27"/>
      <c r="L7" s="27"/>
      <c r="M7" s="27"/>
    </row>
    <row r="8" spans="1:13" ht="50.25" customHeight="1" x14ac:dyDescent="0.4">
      <c r="A8" s="6"/>
      <c r="B8" s="4">
        <v>8</v>
      </c>
      <c r="C8" s="4">
        <v>9.1999999999999993</v>
      </c>
      <c r="D8" s="7"/>
      <c r="E8" s="8">
        <v>2800</v>
      </c>
      <c r="F8" s="8">
        <v>820</v>
      </c>
      <c r="G8" s="9">
        <v>1</v>
      </c>
      <c r="H8" s="10">
        <v>2</v>
      </c>
      <c r="I8" s="10">
        <f t="shared" si="1"/>
        <v>2.2959999999999998</v>
      </c>
      <c r="J8" s="23" t="s">
        <v>17</v>
      </c>
      <c r="K8" s="27"/>
      <c r="L8" s="27"/>
      <c r="M8" s="27"/>
    </row>
    <row r="9" spans="1:13" ht="50.25" customHeight="1" x14ac:dyDescent="0.4">
      <c r="A9" s="6"/>
      <c r="B9" s="4">
        <v>12</v>
      </c>
      <c r="C9" s="4">
        <v>13.2</v>
      </c>
      <c r="D9" s="7" t="s">
        <v>18</v>
      </c>
      <c r="E9" s="8">
        <v>700</v>
      </c>
      <c r="F9" s="8">
        <v>350</v>
      </c>
      <c r="G9" s="9">
        <v>1</v>
      </c>
      <c r="H9" s="10">
        <v>2</v>
      </c>
      <c r="I9" s="10">
        <f t="shared" si="1"/>
        <v>0.245</v>
      </c>
      <c r="J9" s="23" t="s">
        <v>16</v>
      </c>
      <c r="K9" s="27"/>
      <c r="L9" s="27"/>
      <c r="M9" s="27"/>
    </row>
    <row r="10" spans="1:13" ht="47.25" customHeight="1" x14ac:dyDescent="0.4">
      <c r="A10" s="4" t="s">
        <v>19</v>
      </c>
      <c r="B10" s="4">
        <v>16</v>
      </c>
      <c r="C10" s="4">
        <v>17.2</v>
      </c>
      <c r="D10" s="7" t="s">
        <v>14</v>
      </c>
      <c r="E10" s="8">
        <v>2070</v>
      </c>
      <c r="F10" s="8">
        <v>650</v>
      </c>
      <c r="G10" s="9">
        <v>2</v>
      </c>
      <c r="H10" s="10">
        <v>2</v>
      </c>
      <c r="I10" s="10">
        <f t="shared" si="1"/>
        <v>2.6909999999999998</v>
      </c>
      <c r="J10" s="11" t="s">
        <v>8</v>
      </c>
      <c r="K10" s="27"/>
      <c r="L10" s="27"/>
      <c r="M10" s="27"/>
    </row>
    <row r="11" spans="1:13" ht="47.25" customHeight="1" x14ac:dyDescent="0.4">
      <c r="A11" s="4" t="s">
        <v>19</v>
      </c>
      <c r="B11" s="4">
        <v>16</v>
      </c>
      <c r="C11" s="4">
        <v>17.2</v>
      </c>
      <c r="D11" s="7" t="s">
        <v>14</v>
      </c>
      <c r="E11" s="8">
        <v>2070</v>
      </c>
      <c r="F11" s="8">
        <v>650</v>
      </c>
      <c r="G11" s="9">
        <v>2</v>
      </c>
      <c r="H11" s="10">
        <v>2</v>
      </c>
      <c r="I11" s="10">
        <f t="shared" ref="I11" si="2">(E11*F11*G11)/1000000</f>
        <v>2.6909999999999998</v>
      </c>
      <c r="J11" s="11" t="s">
        <v>8</v>
      </c>
      <c r="K11" s="27"/>
      <c r="L11" s="27"/>
      <c r="M11" s="27"/>
    </row>
    <row r="12" spans="1:13" ht="42.9" x14ac:dyDescent="0.4">
      <c r="A12" s="12"/>
      <c r="B12" s="4">
        <v>18</v>
      </c>
      <c r="C12" s="4">
        <v>19.2</v>
      </c>
      <c r="D12" s="7" t="s">
        <v>20</v>
      </c>
      <c r="E12" s="8">
        <v>2800</v>
      </c>
      <c r="F12" s="8">
        <v>1030</v>
      </c>
      <c r="G12" s="9">
        <v>9</v>
      </c>
      <c r="H12" s="10">
        <v>2</v>
      </c>
      <c r="I12" s="10">
        <f t="shared" ref="I12:I17" si="3">(E12*F12*G12)/1000000</f>
        <v>25.956</v>
      </c>
      <c r="J12" s="11" t="s">
        <v>8</v>
      </c>
      <c r="K12" s="27"/>
      <c r="L12" s="27"/>
      <c r="M12" s="27"/>
    </row>
    <row r="13" spans="1:13" ht="42.9" x14ac:dyDescent="0.4">
      <c r="A13" s="12"/>
      <c r="B13" s="4">
        <v>18</v>
      </c>
      <c r="C13" s="4">
        <v>19.2</v>
      </c>
      <c r="D13" s="7" t="s">
        <v>20</v>
      </c>
      <c r="E13" s="8">
        <v>2800</v>
      </c>
      <c r="F13" s="8">
        <v>450</v>
      </c>
      <c r="G13" s="9">
        <v>1</v>
      </c>
      <c r="H13" s="10">
        <v>2</v>
      </c>
      <c r="I13" s="10">
        <f t="shared" si="3"/>
        <v>1.26</v>
      </c>
      <c r="J13" s="11" t="s">
        <v>8</v>
      </c>
      <c r="K13" s="27"/>
      <c r="L13" s="28"/>
      <c r="M13" s="28"/>
    </row>
    <row r="14" spans="1:13" ht="42.9" x14ac:dyDescent="0.4">
      <c r="A14" s="29" t="s">
        <v>21</v>
      </c>
      <c r="B14" s="4">
        <v>18</v>
      </c>
      <c r="C14" s="4">
        <v>19.2</v>
      </c>
      <c r="D14" s="7" t="s">
        <v>20</v>
      </c>
      <c r="E14" s="8">
        <v>2000</v>
      </c>
      <c r="F14" s="8">
        <v>350</v>
      </c>
      <c r="G14" s="9">
        <v>1</v>
      </c>
      <c r="H14" s="10">
        <v>2</v>
      </c>
      <c r="I14" s="10">
        <f t="shared" si="3"/>
        <v>0.7</v>
      </c>
      <c r="J14" s="11" t="s">
        <v>8</v>
      </c>
      <c r="K14" s="27"/>
      <c r="L14" s="28"/>
      <c r="M14" s="28"/>
    </row>
    <row r="15" spans="1:13" ht="42.9" x14ac:dyDescent="0.4">
      <c r="A15" s="30"/>
      <c r="B15" s="4">
        <v>18</v>
      </c>
      <c r="C15" s="4">
        <v>19.2</v>
      </c>
      <c r="D15" s="7" t="s">
        <v>20</v>
      </c>
      <c r="E15" s="8">
        <v>2000</v>
      </c>
      <c r="F15" s="8">
        <v>350</v>
      </c>
      <c r="G15" s="9">
        <v>1</v>
      </c>
      <c r="H15" s="10">
        <v>2</v>
      </c>
      <c r="I15" s="10">
        <f t="shared" si="3"/>
        <v>0.7</v>
      </c>
      <c r="J15" s="11" t="s">
        <v>8</v>
      </c>
      <c r="K15" s="27"/>
      <c r="L15" s="28"/>
      <c r="M15" s="28"/>
    </row>
    <row r="16" spans="1:13" ht="42.9" x14ac:dyDescent="0.4">
      <c r="A16" s="12"/>
      <c r="B16" s="4">
        <v>18</v>
      </c>
      <c r="C16" s="4">
        <v>19.2</v>
      </c>
      <c r="D16" s="7" t="s">
        <v>20</v>
      </c>
      <c r="E16" s="8">
        <v>600</v>
      </c>
      <c r="F16" s="8">
        <v>1030</v>
      </c>
      <c r="G16" s="9">
        <v>1</v>
      </c>
      <c r="H16" s="10">
        <v>2</v>
      </c>
      <c r="I16" s="10">
        <f t="shared" si="3"/>
        <v>0.61799999999999999</v>
      </c>
      <c r="J16" s="11" t="s">
        <v>8</v>
      </c>
      <c r="K16" s="27"/>
      <c r="L16" s="28"/>
      <c r="M16" s="28"/>
    </row>
    <row r="17" spans="1:13" ht="42.9" x14ac:dyDescent="0.4">
      <c r="A17" s="12"/>
      <c r="B17" s="4">
        <v>22</v>
      </c>
      <c r="C17" s="4">
        <v>23.2</v>
      </c>
      <c r="D17" s="7" t="s">
        <v>26</v>
      </c>
      <c r="E17" s="8">
        <v>1650</v>
      </c>
      <c r="F17" s="8">
        <v>650</v>
      </c>
      <c r="G17" s="9">
        <v>1</v>
      </c>
      <c r="H17" s="10">
        <v>2</v>
      </c>
      <c r="I17" s="10">
        <f t="shared" si="3"/>
        <v>1.0725</v>
      </c>
      <c r="J17" s="11" t="s">
        <v>8</v>
      </c>
      <c r="K17" s="27"/>
      <c r="L17" s="28"/>
      <c r="M17" s="28"/>
    </row>
    <row r="18" spans="1:13" ht="42.9" x14ac:dyDescent="0.4">
      <c r="A18" s="29" t="s">
        <v>21</v>
      </c>
      <c r="B18" s="4">
        <v>22</v>
      </c>
      <c r="C18" s="4">
        <v>23.2</v>
      </c>
      <c r="D18" s="7" t="s">
        <v>26</v>
      </c>
      <c r="E18" s="8">
        <v>2000</v>
      </c>
      <c r="F18" s="8">
        <v>200</v>
      </c>
      <c r="G18" s="9">
        <v>1</v>
      </c>
      <c r="H18" s="10">
        <v>2</v>
      </c>
      <c r="I18" s="10">
        <f t="shared" ref="I18:I19" si="4">(E18*F18*G18)/1000000</f>
        <v>0.4</v>
      </c>
      <c r="J18" s="11" t="s">
        <v>8</v>
      </c>
      <c r="K18" s="1"/>
    </row>
    <row r="19" spans="1:13" ht="42.9" x14ac:dyDescent="0.4">
      <c r="A19" s="30"/>
      <c r="B19" s="4">
        <v>22</v>
      </c>
      <c r="C19" s="4">
        <v>23.2</v>
      </c>
      <c r="D19" s="7" t="s">
        <v>26</v>
      </c>
      <c r="E19" s="8">
        <v>2000</v>
      </c>
      <c r="F19" s="8">
        <v>200</v>
      </c>
      <c r="G19" s="9">
        <v>1</v>
      </c>
      <c r="H19" s="10">
        <v>2</v>
      </c>
      <c r="I19" s="10">
        <f t="shared" si="4"/>
        <v>0.4</v>
      </c>
      <c r="J19" s="11" t="s">
        <v>8</v>
      </c>
    </row>
    <row r="20" spans="1:13" ht="42.9" x14ac:dyDescent="0.4">
      <c r="B20" s="4">
        <v>22</v>
      </c>
      <c r="C20" s="4">
        <v>23.2</v>
      </c>
      <c r="D20" s="7" t="s">
        <v>26</v>
      </c>
      <c r="E20" s="31" t="s">
        <v>27</v>
      </c>
      <c r="F20" s="32"/>
      <c r="G20" s="32"/>
      <c r="H20" s="33"/>
      <c r="I20" s="10">
        <v>8.26</v>
      </c>
      <c r="J20" s="11" t="s">
        <v>8</v>
      </c>
    </row>
    <row r="50" spans="4:4" x14ac:dyDescent="0.4">
      <c r="D50" s="2"/>
    </row>
  </sheetData>
  <mergeCells count="17">
    <mergeCell ref="A14:A15"/>
    <mergeCell ref="A18:A19"/>
    <mergeCell ref="E20:H20"/>
    <mergeCell ref="B5:L5"/>
    <mergeCell ref="A1:M2"/>
    <mergeCell ref="A3:A4"/>
    <mergeCell ref="B3:B4"/>
    <mergeCell ref="C3:C4"/>
    <mergeCell ref="D3:D4"/>
    <mergeCell ref="E3:F3"/>
    <mergeCell ref="G3:G4"/>
    <mergeCell ref="H3:H4"/>
    <mergeCell ref="J3:J4"/>
    <mergeCell ref="K3:K4"/>
    <mergeCell ref="L3:L4"/>
    <mergeCell ref="M3:M4"/>
    <mergeCell ref="I3:I4"/>
  </mergeCells>
  <pageMargins left="0.25" right="0.25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</dc:creator>
  <cp:lastModifiedBy>kostinvalentin17@gmail.com</cp:lastModifiedBy>
  <cp:lastPrinted>2026-08-07T12:10:03Z</cp:lastPrinted>
  <dcterms:created xsi:type="dcterms:W3CDTF">2024-12-03T07:09:13Z</dcterms:created>
  <dcterms:modified xsi:type="dcterms:W3CDTF">2026-10-27T12:46:54Z</dcterms:modified>
</cp:coreProperties>
</file>